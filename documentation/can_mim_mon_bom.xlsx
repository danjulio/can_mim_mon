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AN MIM MON Rev 2 PCB" sheetId="1" r:id="rId4"/>
    <sheet name="CAN MIM MON Rev 2 Top BOM" sheetId="2" r:id="rId5"/>
  </sheets>
</workbook>
</file>

<file path=xl/sharedStrings.xml><?xml version="1.0" encoding="utf-8"?>
<sst xmlns="http://schemas.openxmlformats.org/spreadsheetml/2006/main" uniqueCount="137">
  <si>
    <t>CAN MIM MON Rev 2 PCB Specifications</t>
  </si>
  <si>
    <t>Material</t>
  </si>
  <si>
    <t>FR4</t>
  </si>
  <si>
    <t>Layers</t>
  </si>
  <si>
    <t>2</t>
  </si>
  <si>
    <t>Thickness</t>
  </si>
  <si>
    <t>1.6 mm</t>
  </si>
  <si>
    <t>Copper Thickness</t>
  </si>
  <si>
    <t>1 oz</t>
  </si>
  <si>
    <t>Soldermask</t>
  </si>
  <si>
    <t>Green</t>
  </si>
  <si>
    <t>Silkscreen</t>
  </si>
  <si>
    <t>White</t>
  </si>
  <si>
    <t>Finish</t>
  </si>
  <si>
    <t>LF HASL</t>
  </si>
  <si>
    <t>Outer Dimensions</t>
  </si>
  <si>
    <t>69.85 x 48.26 mm (2.75 x 1.9”)</t>
  </si>
  <si>
    <t>Drills</t>
  </si>
  <si>
    <t>82</t>
  </si>
  <si>
    <t>CAN MIM MON Rev 2 PCB Top side Assembly BOM</t>
  </si>
  <si>
    <t>Line No</t>
  </si>
  <si>
    <t>Qty</t>
  </si>
  <si>
    <t>Ref Desg</t>
  </si>
  <si>
    <t>Part Number</t>
  </si>
  <si>
    <t>Manuf</t>
  </si>
  <si>
    <t>Package/Type</t>
  </si>
  <si>
    <t>Desc</t>
  </si>
  <si>
    <t>Distributor Part Number</t>
  </si>
  <si>
    <t>Notes</t>
  </si>
  <si>
    <t>1</t>
  </si>
  <si>
    <t>5</t>
  </si>
  <si>
    <t>C1, C2, C3, C11, C14</t>
  </si>
  <si>
    <t>CL21B106KAYQNNE</t>
  </si>
  <si>
    <t>Samsung Electro-Mechanics</t>
  </si>
  <si>
    <t>SMD/0805</t>
  </si>
  <si>
    <t>Multilayer Ceramic Capacitors MLCC - SMD/SMT 10uF 25V X7R 10% 080 0805</t>
  </si>
  <si>
    <t>Mouser 187-CL21B106KAYQNNE</t>
  </si>
  <si>
    <t>May substitute with equal or better</t>
  </si>
  <si>
    <t>C4, C5</t>
  </si>
  <si>
    <t>885012006021</t>
  </si>
  <si>
    <t>Wurth Elektronik</t>
  </si>
  <si>
    <t>SMD/0603</t>
  </si>
  <si>
    <t>Multilayer Ceramic Capacitors MLCC - SMD/SMT WCAP-CSGP 47pF 0603 5% 16V MLCC</t>
  </si>
  <si>
    <t>Mouser 710-885012006021</t>
  </si>
  <si>
    <t>9</t>
  </si>
  <si>
    <t>C6, C7, C8, C9, C10, C12, C13, C15, C16</t>
  </si>
  <si>
    <t>CL10B104KO8NNWC</t>
  </si>
  <si>
    <t>Multilayer Ceramic Capacitors MLCC - SMD/SMT 100nF+/-10% 16V X7R 0603</t>
  </si>
  <si>
    <t>Mouser 187-CL10B104KO8NNWC</t>
  </si>
  <si>
    <t>CON1, CON2, CON3, CON4, CON5</t>
  </si>
  <si>
    <t>1985946</t>
  </si>
  <si>
    <t>Phoenix Contact</t>
  </si>
  <si>
    <t>TH</t>
  </si>
  <si>
    <t>Fixed Terminal Blocks MKDSN 2.5/2-5.08 HT</t>
  </si>
  <si>
    <t>Mouser 651-1985946</t>
  </si>
  <si>
    <t>D1</t>
  </si>
  <si>
    <t>SK14</t>
  </si>
  <si>
    <t>Diotec Semiconductor</t>
  </si>
  <si>
    <t>SMD/DO214AC</t>
  </si>
  <si>
    <t>Schottky Diodes &amp; Rectifiers Schottky, SMA, 40V, 1A</t>
  </si>
  <si>
    <t>Mouser 637-SK14</t>
  </si>
  <si>
    <t>D2</t>
  </si>
  <si>
    <t>SMBJ16A</t>
  </si>
  <si>
    <t>Bourns</t>
  </si>
  <si>
    <t>SMD/DO214AA</t>
  </si>
  <si>
    <t>ESD Protection Diodes / TVS Diodes 16volts 5uA 23.1 Amps Uni-Dir</t>
  </si>
  <si>
    <t>Mouser 652-SMBJ16A</t>
  </si>
  <si>
    <t>D3</t>
  </si>
  <si>
    <t>LTST-C171GKT</t>
  </si>
  <si>
    <t>LITEON</t>
  </si>
  <si>
    <t>Single Color LEDs Green Clear 569nm</t>
  </si>
  <si>
    <t>Mouser 859-LTST-C171GKT</t>
  </si>
  <si>
    <t>J1, J2</t>
  </si>
  <si>
    <t>5-146282-4</t>
  </si>
  <si>
    <t>TE Connectivity</t>
  </si>
  <si>
    <t>Headers &amp; Wire Housings HDR VT 1X04P .1" 230/090 SN</t>
  </si>
  <si>
    <t>Mouser 571-5-146282-4</t>
  </si>
  <si>
    <t>May substitute with equal or better.  These parts must be split into two pieces.</t>
  </si>
  <si>
    <t>MSBH-G</t>
  </si>
  <si>
    <t>Adam Tech</t>
  </si>
  <si>
    <t>Headers &amp; Wire Housings HANDLE TOP .100 GOLD PLATED</t>
  </si>
  <si>
    <t>Mouser 737-MSBH-G</t>
  </si>
  <si>
    <t>Insert onto J1, J2 after soldering</t>
  </si>
  <si>
    <t>L1</t>
  </si>
  <si>
    <t>RLS-126-R</t>
  </si>
  <si>
    <t>RECOM</t>
  </si>
  <si>
    <t>SMD/4532</t>
  </si>
  <si>
    <t>Power Inductors - SMD Line Inductors for RECOM Power Supply</t>
  </si>
  <si>
    <t>Mouser 919-RLS-126-R</t>
  </si>
  <si>
    <t>PS1</t>
  </si>
  <si>
    <t>R-78E5.0-0.5</t>
  </si>
  <si>
    <t>DC/DC Converters - Through Hole 0.5A 5V OUT SIP VERT</t>
  </si>
  <si>
    <t>Mouser 919-R-78E5.0-0.5</t>
  </si>
  <si>
    <t>R1</t>
  </si>
  <si>
    <t>ERJ-3EKF3300V</t>
  </si>
  <si>
    <t>Panasonic</t>
  </si>
  <si>
    <t>Thick Film Resistors - SMD 0603 330ohms 1% AEC-Q200</t>
  </si>
  <si>
    <t>Mouser 667-ERJ-3EKF3300V</t>
  </si>
  <si>
    <t>R2, R3</t>
  </si>
  <si>
    <t>ERJ-3EKF4421V</t>
  </si>
  <si>
    <t>Thick Film Resistors - SMD 0603 4.42Kohms 1% AEC-Q200</t>
  </si>
  <si>
    <t>Mouser 667-ERJ-3EKF4421V</t>
  </si>
  <si>
    <t>4</t>
  </si>
  <si>
    <t>R4, R5, R6, R7</t>
  </si>
  <si>
    <t>ERJ-6ENF1200V</t>
  </si>
  <si>
    <t>Thick Film Resistors - SMD 0805 120ohms 1% AEC-Q200</t>
  </si>
  <si>
    <t>Mouser 667-ERJ-6ENF1200V</t>
  </si>
  <si>
    <t>U1</t>
  </si>
  <si>
    <t>SN74LV32APWR</t>
  </si>
  <si>
    <t>Texas Instruments</t>
  </si>
  <si>
    <t>SMD/SOP65-14</t>
  </si>
  <si>
    <t>Logic Gates Quad 2-Input Pos A 595-SN74LV32APW</t>
  </si>
  <si>
    <t>Mouser 595-SN74LV32APWR</t>
  </si>
  <si>
    <t>U2</t>
  </si>
  <si>
    <t>SN74LVC2G08DCURE4</t>
  </si>
  <si>
    <t>SMD/SOP50-8</t>
  </si>
  <si>
    <t>Logic Gates Dual 2-Input Pos A 595-SN74LVC2G08DCUR</t>
  </si>
  <si>
    <t>Mouser 595-SN74LVC2G08DCUE4</t>
  </si>
  <si>
    <t>U3</t>
  </si>
  <si>
    <t>SN74LVC2G07DBVR</t>
  </si>
  <si>
    <t>SMD/SOT95-6</t>
  </si>
  <si>
    <t>Buffers &amp; Line Drivers Dual w/ Open-Drain</t>
  </si>
  <si>
    <t>Mouser 595-SN74LVC2G07DBVR</t>
  </si>
  <si>
    <t>U4</t>
  </si>
  <si>
    <t>SN74LVC2G04DBVR</t>
  </si>
  <si>
    <t>Inverters Dual A 595-SN74LVC2G04DBVT</t>
  </si>
  <si>
    <t>Mouser 595-SN74LVC2G04DBVR</t>
  </si>
  <si>
    <t>U5</t>
  </si>
  <si>
    <t>SN74LVC2G132DCTR</t>
  </si>
  <si>
    <t>SMD/VSSOP8</t>
  </si>
  <si>
    <t>Logic Gates Dual 2-Input NAND Gate</t>
  </si>
  <si>
    <t>Mouser 595-SN74LVC2G132DCTR</t>
  </si>
  <si>
    <t>U6, U7, U8, U9</t>
  </si>
  <si>
    <t>TCAN1042HDRQ1</t>
  </si>
  <si>
    <t>SMD/SO8</t>
  </si>
  <si>
    <t>CAN Interface IC Automotive 70-V bus- fault-protected CAN A 595-TCAN1042HDQ1</t>
  </si>
  <si>
    <t>Mouser 595-TCAN1042HDRQ1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</si>
</sst>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"/>
    </font>
    <font>
      <sz val="12"/>
      <color indexed="8"/>
      <name val="Helvetica"/>
    </font>
    <font>
      <b val="1"/>
      <sz val="10"/>
      <color indexed="8"/>
      <name val="Helvetica"/>
    </font>
    <font>
      <sz val="11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left" vertical="top" wrapText="1"/>
    </xf>
    <xf numFmtId="49" fontId="2" fillId="2" borderId="1" applyNumberFormat="1" applyFont="1" applyFill="1" applyBorder="1" applyAlignment="1" applyProtection="0">
      <alignment vertical="top" wrapText="1"/>
    </xf>
    <xf numFmtId="49" fontId="0" borderId="2" applyNumberFormat="1" applyFont="1" applyFill="0" applyBorder="1" applyAlignment="1" applyProtection="0">
      <alignment horizontal="left" vertical="top"/>
    </xf>
    <xf numFmtId="49" fontId="0" borderId="4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horizontal="left" vertical="top"/>
    </xf>
    <xf numFmtId="49" fontId="3" borderId="4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horizontal="left" vertical="top" wrapText="1"/>
    </xf>
    <xf numFmtId="0" fontId="0" borderId="5" applyNumberFormat="1" applyFont="1" applyFill="0" applyBorder="1" applyAlignment="1" applyProtection="0">
      <alignment horizontal="left" vertical="top"/>
    </xf>
    <xf numFmtId="49" fontId="0" fillId="4" borderId="6" applyNumberFormat="1" applyFont="1" applyFill="1" applyBorder="1" applyAlignment="1" applyProtection="0">
      <alignment horizontal="left" vertical="top" wrapText="1"/>
    </xf>
    <xf numFmtId="49" fontId="0" fillId="4" borderId="7" applyNumberFormat="1" applyFont="1" applyFill="1" applyBorder="1" applyAlignment="1" applyProtection="0">
      <alignment horizontal="left" vertical="top" wrapText="1"/>
    </xf>
    <xf numFmtId="49" fontId="0" fillId="4" borderId="7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horizontal="left" vertical="top"/>
    </xf>
    <xf numFmtId="49" fontId="3" fillId="4" borderId="7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horizontal="left" vertical="top" wrapText="1"/>
    </xf>
    <xf numFmtId="49" fontId="0" borderId="7" applyNumberFormat="1" applyFont="1" applyFill="0" applyBorder="1" applyAlignment="1" applyProtection="0">
      <alignment horizontal="left" vertical="top" wrapText="1"/>
    </xf>
    <xf numFmtId="49" fontId="0" borderId="7" applyNumberFormat="1" applyFont="1" applyFill="0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horizontal="left" vertical="top"/>
    </xf>
    <xf numFmtId="49" fontId="0" borderId="6" applyNumberFormat="1" applyFont="1" applyFill="0" applyBorder="1" applyAlignment="1" applyProtection="0">
      <alignment horizontal="left" vertical="top"/>
    </xf>
    <xf numFmtId="49" fontId="0" borderId="7" applyNumberFormat="1" applyFont="1" applyFill="0" applyBorder="1" applyAlignment="1" applyProtection="0">
      <alignment horizontal="left" vertical="top"/>
    </xf>
    <xf numFmtId="49" fontId="3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4f4f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_rels/theme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r:embed="rId1"/>
          <a:srcRect l="0" t="0" r="0" b="0"/>
          <a:tile tx="0" ty="0" sx="100000" sy="100000" flip="none" algn="tl"/>
        </a:blipFill>
        <a:ln w="12700" cap="flat">
          <a:noFill/>
          <a:miter lim="400000"/>
        </a:ln>
        <a:effectLst>
          <a:outerShdw sx="100000" sy="100000" kx="0" ky="0" algn="b" rotWithShape="0" blurRad="38100" dist="25400" dir="540000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>
              <a:outerShdw sx="100000" sy="100000" kx="0" ky="0" algn="b" rotWithShape="0" blurRad="25400" dist="23998" dir="270000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2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8" customHeight="1" outlineLevelRow="0" outlineLevelCol="0"/>
  <cols>
    <col min="1" max="5" width="16.3516" style="1" customWidth="1"/>
    <col min="6" max="16384" width="16.3516" style="1" customWidth="1"/>
  </cols>
  <sheetData>
    <row r="1" ht="28" customHeight="1">
      <c r="A1" t="s" s="2">
        <v>0</v>
      </c>
      <c r="B1" s="2"/>
      <c r="C1" s="2"/>
      <c r="D1" s="2"/>
      <c r="E1" s="2"/>
    </row>
    <row r="2" ht="20.55" customHeight="1">
      <c r="A2" s="3"/>
      <c r="B2" s="3"/>
      <c r="C2" s="3"/>
      <c r="D2" s="3"/>
      <c r="E2" s="3"/>
    </row>
    <row r="3" ht="20.55" customHeight="1">
      <c r="A3" t="s" s="4">
        <v>1</v>
      </c>
      <c r="B3" t="s" s="5">
        <v>2</v>
      </c>
      <c r="C3" s="6"/>
      <c r="D3" s="6"/>
      <c r="E3" s="6"/>
    </row>
    <row r="4" ht="20.35" customHeight="1">
      <c r="A4" t="s" s="7">
        <v>3</v>
      </c>
      <c r="B4" t="s" s="8">
        <v>4</v>
      </c>
      <c r="C4" s="9"/>
      <c r="D4" s="9"/>
      <c r="E4" s="9"/>
    </row>
    <row r="5" ht="20.35" customHeight="1">
      <c r="A5" t="s" s="7">
        <v>5</v>
      </c>
      <c r="B5" t="s" s="10">
        <v>6</v>
      </c>
      <c r="C5" s="11"/>
      <c r="D5" s="11"/>
      <c r="E5" s="11"/>
    </row>
    <row r="6" ht="20.35" customHeight="1">
      <c r="A6" t="s" s="7">
        <v>7</v>
      </c>
      <c r="B6" t="s" s="8">
        <v>8</v>
      </c>
      <c r="C6" s="9"/>
      <c r="D6" s="9"/>
      <c r="E6" s="9"/>
    </row>
    <row r="7" ht="20.35" customHeight="1">
      <c r="A7" t="s" s="7">
        <v>9</v>
      </c>
      <c r="B7" t="s" s="10">
        <v>10</v>
      </c>
      <c r="C7" s="11"/>
      <c r="D7" s="11"/>
      <c r="E7" s="11"/>
    </row>
    <row r="8" ht="20.35" customHeight="1">
      <c r="A8" t="s" s="7">
        <v>11</v>
      </c>
      <c r="B8" t="s" s="8">
        <v>12</v>
      </c>
      <c r="C8" s="9"/>
      <c r="D8" s="9"/>
      <c r="E8" s="9"/>
    </row>
    <row r="9" ht="20.35" customHeight="1">
      <c r="A9" t="s" s="7">
        <v>13</v>
      </c>
      <c r="B9" t="s" s="10">
        <v>14</v>
      </c>
      <c r="C9" s="11"/>
      <c r="D9" s="11"/>
      <c r="E9" s="11"/>
    </row>
    <row r="10" ht="32.35" customHeight="1">
      <c r="A10" t="s" s="7">
        <v>15</v>
      </c>
      <c r="B10" t="s" s="8">
        <v>16</v>
      </c>
      <c r="C10" s="9"/>
      <c r="D10" s="9"/>
      <c r="E10" s="9"/>
    </row>
    <row r="11" ht="20.35" customHeight="1">
      <c r="A11" t="s" s="7">
        <v>17</v>
      </c>
      <c r="B11" t="s" s="10">
        <v>18</v>
      </c>
      <c r="C11" s="11"/>
      <c r="D11" s="11"/>
      <c r="E11" s="11"/>
    </row>
    <row r="12" ht="20.35" customHeight="1">
      <c r="A12" s="12"/>
      <c r="B12" s="13"/>
      <c r="C12" s="9"/>
      <c r="D12" s="9"/>
      <c r="E12" s="9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I22"/>
  <sheetViews>
    <sheetView workbookViewId="0" showGridLines="0" defaultGridColor="1">
      <pane topLeftCell="B3" xSplit="1" ySplit="2" activePane="bottomRight" state="frozen"/>
    </sheetView>
  </sheetViews>
  <sheetFormatPr defaultColWidth="12.04" defaultRowHeight="18" customHeight="1" outlineLevelRow="0" outlineLevelCol="0"/>
  <cols>
    <col min="1" max="2" width="6" style="14" customWidth="1"/>
    <col min="3" max="3" width="15" style="14" customWidth="1"/>
    <col min="4" max="4" width="24" style="14" customWidth="1"/>
    <col min="5" max="5" width="21" style="14" customWidth="1"/>
    <col min="6" max="6" width="12.0469" style="14" customWidth="1"/>
    <col min="7" max="7" width="36" style="14" customWidth="1"/>
    <col min="8" max="9" width="24" style="14" customWidth="1"/>
    <col min="10" max="16384" width="12.0469" style="14" customWidth="1"/>
  </cols>
  <sheetData>
    <row r="1" ht="28" customHeight="1">
      <c r="A1" t="s" s="2">
        <v>19</v>
      </c>
      <c r="B1" s="2"/>
      <c r="C1" s="2"/>
      <c r="D1" s="2"/>
      <c r="E1" s="2"/>
      <c r="F1" s="2"/>
      <c r="G1" s="2"/>
      <c r="H1" s="2"/>
      <c r="I1" s="2"/>
    </row>
    <row r="2" ht="32.55" customHeight="1">
      <c r="A2" t="s" s="15">
        <v>20</v>
      </c>
      <c r="B2" t="s" s="15">
        <v>21</v>
      </c>
      <c r="C2" t="s" s="16">
        <v>22</v>
      </c>
      <c r="D2" t="s" s="16">
        <v>23</v>
      </c>
      <c r="E2" t="s" s="16">
        <v>24</v>
      </c>
      <c r="F2" t="s" s="16">
        <v>25</v>
      </c>
      <c r="G2" t="s" s="16">
        <v>26</v>
      </c>
      <c r="H2" t="s" s="16">
        <v>27</v>
      </c>
      <c r="I2" t="s" s="16">
        <v>28</v>
      </c>
    </row>
    <row r="3" ht="32.55" customHeight="1">
      <c r="A3" t="s" s="17">
        <v>29</v>
      </c>
      <c r="B3" t="s" s="5">
        <v>30</v>
      </c>
      <c r="C3" t="s" s="18">
        <v>31</v>
      </c>
      <c r="D3" t="s" s="18">
        <v>32</v>
      </c>
      <c r="E3" t="s" s="18">
        <v>33</v>
      </c>
      <c r="F3" t="s" s="19">
        <v>34</v>
      </c>
      <c r="G3" t="s" s="20">
        <v>35</v>
      </c>
      <c r="H3" t="s" s="21">
        <v>36</v>
      </c>
      <c r="I3" t="s" s="21">
        <v>37</v>
      </c>
    </row>
    <row r="4" ht="32.35" customHeight="1">
      <c r="A4" s="22">
        <f>$A3+1</f>
        <v>2</v>
      </c>
      <c r="B4" t="s" s="23">
        <v>4</v>
      </c>
      <c r="C4" t="s" s="24">
        <v>38</v>
      </c>
      <c r="D4" t="s" s="25">
        <v>39</v>
      </c>
      <c r="E4" t="s" s="25">
        <v>40</v>
      </c>
      <c r="F4" t="s" s="26">
        <v>41</v>
      </c>
      <c r="G4" t="s" s="27">
        <v>42</v>
      </c>
      <c r="H4" t="s" s="24">
        <v>43</v>
      </c>
      <c r="I4" t="s" s="24">
        <v>37</v>
      </c>
    </row>
    <row r="5" ht="44.35" customHeight="1">
      <c r="A5" s="22">
        <f>$A4+1</f>
        <v>3</v>
      </c>
      <c r="B5" t="s" s="28">
        <v>44</v>
      </c>
      <c r="C5" t="s" s="29">
        <v>45</v>
      </c>
      <c r="D5" t="s" s="30">
        <v>46</v>
      </c>
      <c r="E5" t="s" s="30">
        <v>33</v>
      </c>
      <c r="F5" t="s" s="29">
        <v>41</v>
      </c>
      <c r="G5" t="s" s="30">
        <v>47</v>
      </c>
      <c r="H5" t="s" s="29">
        <v>48</v>
      </c>
      <c r="I5" t="s" s="29">
        <v>37</v>
      </c>
    </row>
    <row r="6" ht="40.35" customHeight="1">
      <c r="A6" s="22">
        <f>$A5+1</f>
        <v>4</v>
      </c>
      <c r="B6" t="s" s="31">
        <v>30</v>
      </c>
      <c r="C6" t="s" s="24">
        <v>49</v>
      </c>
      <c r="D6" t="s" s="25">
        <v>50</v>
      </c>
      <c r="E6" t="s" s="25">
        <v>51</v>
      </c>
      <c r="F6" t="s" s="26">
        <v>52</v>
      </c>
      <c r="G6" t="s" s="25">
        <v>53</v>
      </c>
      <c r="H6" t="s" s="24">
        <v>54</v>
      </c>
      <c r="I6" t="s" s="24">
        <v>37</v>
      </c>
    </row>
    <row r="7" ht="32.35" customHeight="1">
      <c r="A7" s="22">
        <f>$A6+1</f>
        <v>5</v>
      </c>
      <c r="B7" t="s" s="32">
        <v>29</v>
      </c>
      <c r="C7" t="s" s="29">
        <v>55</v>
      </c>
      <c r="D7" t="s" s="30">
        <v>56</v>
      </c>
      <c r="E7" t="s" s="30">
        <v>57</v>
      </c>
      <c r="F7" t="s" s="33">
        <v>58</v>
      </c>
      <c r="G7" t="s" s="34">
        <v>59</v>
      </c>
      <c r="H7" t="s" s="29">
        <v>60</v>
      </c>
      <c r="I7" t="s" s="29">
        <v>37</v>
      </c>
    </row>
    <row r="8" ht="32.35" customHeight="1">
      <c r="A8" s="22">
        <f>$A7+1</f>
        <v>6</v>
      </c>
      <c r="B8" t="s" s="23">
        <v>29</v>
      </c>
      <c r="C8" t="s" s="24">
        <v>61</v>
      </c>
      <c r="D8" t="s" s="25">
        <v>62</v>
      </c>
      <c r="E8" t="s" s="25">
        <v>63</v>
      </c>
      <c r="F8" t="s" s="24">
        <v>64</v>
      </c>
      <c r="G8" t="s" s="25">
        <v>65</v>
      </c>
      <c r="H8" t="s" s="24">
        <v>66</v>
      </c>
      <c r="I8" t="s" s="24">
        <v>37</v>
      </c>
    </row>
    <row r="9" ht="32.35" customHeight="1">
      <c r="A9" s="22">
        <f>$A8+1</f>
        <v>7</v>
      </c>
      <c r="B9" t="s" s="28">
        <v>29</v>
      </c>
      <c r="C9" t="s" s="29">
        <v>67</v>
      </c>
      <c r="D9" t="s" s="30">
        <v>68</v>
      </c>
      <c r="E9" t="s" s="30">
        <v>69</v>
      </c>
      <c r="F9" t="s" s="33">
        <v>34</v>
      </c>
      <c r="G9" t="s" s="30">
        <v>70</v>
      </c>
      <c r="H9" t="s" s="29">
        <v>71</v>
      </c>
      <c r="I9" t="s" s="29">
        <v>37</v>
      </c>
    </row>
    <row r="10" ht="44.35" customHeight="1">
      <c r="A10" s="22">
        <f>$A9+1</f>
        <v>8</v>
      </c>
      <c r="B10" t="s" s="31">
        <v>4</v>
      </c>
      <c r="C10" t="s" s="24">
        <v>72</v>
      </c>
      <c r="D10" t="s" s="25">
        <v>73</v>
      </c>
      <c r="E10" t="s" s="25">
        <v>74</v>
      </c>
      <c r="F10" t="s" s="26">
        <v>52</v>
      </c>
      <c r="G10" t="s" s="25">
        <v>75</v>
      </c>
      <c r="H10" t="s" s="24">
        <v>76</v>
      </c>
      <c r="I10" t="s" s="24">
        <v>77</v>
      </c>
    </row>
    <row r="11" ht="32.35" customHeight="1">
      <c r="A11" s="22">
        <f>$A10+1</f>
        <v>9</v>
      </c>
      <c r="B11" t="s" s="28">
        <v>4</v>
      </c>
      <c r="C11" s="29"/>
      <c r="D11" t="s" s="30">
        <v>78</v>
      </c>
      <c r="E11" t="s" s="30">
        <v>79</v>
      </c>
      <c r="F11" s="29"/>
      <c r="G11" t="s" s="34">
        <v>80</v>
      </c>
      <c r="H11" t="s" s="29">
        <v>81</v>
      </c>
      <c r="I11" t="s" s="29">
        <v>82</v>
      </c>
    </row>
    <row r="12" ht="32.35" customHeight="1">
      <c r="A12" s="22">
        <f>$A11+1</f>
        <v>10</v>
      </c>
      <c r="B12" t="s" s="31">
        <v>29</v>
      </c>
      <c r="C12" t="s" s="24">
        <v>83</v>
      </c>
      <c r="D12" t="s" s="25">
        <v>84</v>
      </c>
      <c r="E12" t="s" s="25">
        <v>85</v>
      </c>
      <c r="F12" t="s" s="24">
        <v>86</v>
      </c>
      <c r="G12" t="s" s="25">
        <v>87</v>
      </c>
      <c r="H12" t="s" s="24">
        <v>88</v>
      </c>
      <c r="I12" s="24"/>
    </row>
    <row r="13" ht="32.35" customHeight="1">
      <c r="A13" s="22">
        <f>$A12+1</f>
        <v>11</v>
      </c>
      <c r="B13" t="s" s="32">
        <v>29</v>
      </c>
      <c r="C13" t="s" s="29">
        <v>89</v>
      </c>
      <c r="D13" t="s" s="30">
        <v>90</v>
      </c>
      <c r="E13" t="s" s="30">
        <v>85</v>
      </c>
      <c r="F13" t="s" s="33">
        <v>52</v>
      </c>
      <c r="G13" t="s" s="30">
        <v>91</v>
      </c>
      <c r="H13" t="s" s="29">
        <v>92</v>
      </c>
      <c r="I13" t="s" s="29">
        <v>37</v>
      </c>
    </row>
    <row r="14" ht="32.35" customHeight="1">
      <c r="A14" s="22">
        <f>$A13+1</f>
        <v>12</v>
      </c>
      <c r="B14" t="s" s="31">
        <v>29</v>
      </c>
      <c r="C14" t="s" s="24">
        <v>93</v>
      </c>
      <c r="D14" t="s" s="25">
        <v>94</v>
      </c>
      <c r="E14" t="s" s="25">
        <v>95</v>
      </c>
      <c r="F14" t="s" s="26">
        <v>41</v>
      </c>
      <c r="G14" t="s" s="25">
        <v>96</v>
      </c>
      <c r="H14" t="s" s="24">
        <v>97</v>
      </c>
      <c r="I14" t="s" s="24">
        <v>37</v>
      </c>
    </row>
    <row r="15" ht="32.35" customHeight="1">
      <c r="A15" s="22">
        <f>$A14+1</f>
        <v>13</v>
      </c>
      <c r="B15" t="s" s="32">
        <v>4</v>
      </c>
      <c r="C15" t="s" s="29">
        <v>98</v>
      </c>
      <c r="D15" t="s" s="30">
        <v>99</v>
      </c>
      <c r="E15" t="s" s="30">
        <v>95</v>
      </c>
      <c r="F15" t="s" s="33">
        <v>41</v>
      </c>
      <c r="G15" t="s" s="30">
        <v>100</v>
      </c>
      <c r="H15" t="s" s="29">
        <v>101</v>
      </c>
      <c r="I15" t="s" s="29">
        <v>37</v>
      </c>
    </row>
    <row r="16" ht="32.35" customHeight="1">
      <c r="A16" s="22">
        <f>$A15+1</f>
        <v>14</v>
      </c>
      <c r="B16" t="s" s="31">
        <v>102</v>
      </c>
      <c r="C16" t="s" s="24">
        <v>103</v>
      </c>
      <c r="D16" t="s" s="25">
        <v>104</v>
      </c>
      <c r="E16" t="s" s="25">
        <v>95</v>
      </c>
      <c r="F16" t="s" s="26">
        <v>34</v>
      </c>
      <c r="G16" t="s" s="27">
        <v>105</v>
      </c>
      <c r="H16" t="s" s="24">
        <v>106</v>
      </c>
      <c r="I16" t="s" s="24">
        <v>37</v>
      </c>
    </row>
    <row r="17" ht="32.35" customHeight="1">
      <c r="A17" s="22">
        <f>$A16+1</f>
        <v>15</v>
      </c>
      <c r="B17" t="s" s="32">
        <v>29</v>
      </c>
      <c r="C17" t="s" s="29">
        <v>107</v>
      </c>
      <c r="D17" t="s" s="30">
        <v>108</v>
      </c>
      <c r="E17" t="s" s="30">
        <v>109</v>
      </c>
      <c r="F17" t="s" s="33">
        <v>110</v>
      </c>
      <c r="G17" t="s" s="30">
        <v>111</v>
      </c>
      <c r="H17" t="s" s="29">
        <v>112</v>
      </c>
      <c r="I17" t="s" s="29">
        <v>37</v>
      </c>
    </row>
    <row r="18" ht="32.35" customHeight="1">
      <c r="A18" s="22">
        <f>$A17+1</f>
        <v>16</v>
      </c>
      <c r="B18" t="s" s="31">
        <v>29</v>
      </c>
      <c r="C18" t="s" s="24">
        <v>113</v>
      </c>
      <c r="D18" t="s" s="25">
        <v>114</v>
      </c>
      <c r="E18" t="s" s="25">
        <v>109</v>
      </c>
      <c r="F18" t="s" s="26">
        <v>115</v>
      </c>
      <c r="G18" t="s" s="27">
        <v>116</v>
      </c>
      <c r="H18" t="s" s="24">
        <v>117</v>
      </c>
      <c r="I18" t="s" s="24">
        <v>37</v>
      </c>
    </row>
    <row r="19" ht="32.35" customHeight="1">
      <c r="A19" s="22">
        <f>$A18+1</f>
        <v>17</v>
      </c>
      <c r="B19" t="s" s="32">
        <v>29</v>
      </c>
      <c r="C19" t="s" s="29">
        <v>118</v>
      </c>
      <c r="D19" t="s" s="30">
        <v>119</v>
      </c>
      <c r="E19" t="s" s="30">
        <v>109</v>
      </c>
      <c r="F19" t="s" s="33">
        <v>120</v>
      </c>
      <c r="G19" t="s" s="30">
        <v>121</v>
      </c>
      <c r="H19" t="s" s="29">
        <v>122</v>
      </c>
      <c r="I19" t="s" s="29">
        <v>37</v>
      </c>
    </row>
    <row r="20" ht="32.35" customHeight="1">
      <c r="A20" s="22">
        <f>$A19+1</f>
        <v>18</v>
      </c>
      <c r="B20" t="s" s="31">
        <v>29</v>
      </c>
      <c r="C20" t="s" s="24">
        <v>123</v>
      </c>
      <c r="D20" t="s" s="25">
        <v>124</v>
      </c>
      <c r="E20" t="s" s="25">
        <v>109</v>
      </c>
      <c r="F20" t="s" s="26">
        <v>120</v>
      </c>
      <c r="G20" t="s" s="27">
        <v>125</v>
      </c>
      <c r="H20" t="s" s="24">
        <v>126</v>
      </c>
      <c r="I20" t="s" s="24">
        <v>37</v>
      </c>
    </row>
    <row r="21" ht="32.35" customHeight="1">
      <c r="A21" s="22">
        <f>$A20+1</f>
        <v>19</v>
      </c>
      <c r="B21" t="s" s="32">
        <v>29</v>
      </c>
      <c r="C21" t="s" s="29">
        <v>127</v>
      </c>
      <c r="D21" t="s" s="30">
        <v>128</v>
      </c>
      <c r="E21" t="s" s="30">
        <v>109</v>
      </c>
      <c r="F21" t="s" s="33">
        <v>129</v>
      </c>
      <c r="G21" t="s" s="34">
        <v>130</v>
      </c>
      <c r="H21" t="s" s="29">
        <v>131</v>
      </c>
      <c r="I21" t="s" s="29">
        <v>37</v>
      </c>
    </row>
    <row r="22" ht="32.35" customHeight="1">
      <c r="A22" s="22">
        <f>$A21+1</f>
        <v>20</v>
      </c>
      <c r="B22" t="s" s="31">
        <v>102</v>
      </c>
      <c r="C22" t="s" s="24">
        <v>132</v>
      </c>
      <c r="D22" t="s" s="25">
        <v>133</v>
      </c>
      <c r="E22" t="s" s="25">
        <v>109</v>
      </c>
      <c r="F22" t="s" s="26">
        <v>134</v>
      </c>
      <c r="G22" t="s" s="25">
        <v>135</v>
      </c>
      <c r="H22" t="s" s="24">
        <v>136</v>
      </c>
      <c r="I22" t="s" s="24">
        <v>37</v>
      </c>
    </row>
  </sheetData>
  <mergeCells count="1">
    <mergeCell ref="A1:I1"/>
  </mergeCells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